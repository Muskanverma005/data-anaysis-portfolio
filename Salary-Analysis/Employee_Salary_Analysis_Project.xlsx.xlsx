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6e306f8caabc167/Desktop/Excel Projects/"/>
    </mc:Choice>
  </mc:AlternateContent>
  <xr:revisionPtr revIDLastSave="1" documentId="11_4E8F488929CDB6A8D16E02308CEAC861D44EC613" xr6:coauthVersionLast="47" xr6:coauthVersionMax="47" xr10:uidLastSave="{FDFC86EC-17E6-4354-9699-A3852612ACCC}"/>
  <bookViews>
    <workbookView xWindow="-108" yWindow="-108" windowWidth="23256" windowHeight="12456" xr2:uid="{00000000-000D-0000-FFFF-FFFF00000000}"/>
  </bookViews>
  <sheets>
    <sheet name="Raw Data" sheetId="1" r:id="rId1"/>
    <sheet name="Analysis" sheetId="2" r:id="rId2"/>
    <sheet name="Pivot Table" sheetId="3" r:id="rId3"/>
    <sheet name="Dashboard" sheetId="4" r:id="rId4"/>
  </sheets>
  <definedNames>
    <definedName name="Slicer_Country">#N/A</definedName>
    <definedName name="Slicer_Department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<sst xmlns="http://schemas.openxmlformats.org/spreadsheetml/2006/main" count="117" uniqueCount="54">
  <si>
    <t>Employee Name</t>
  </si>
  <si>
    <t>Department</t>
  </si>
  <si>
    <t>Country</t>
  </si>
  <si>
    <t>Salary</t>
  </si>
  <si>
    <t>Aarav Sharma</t>
  </si>
  <si>
    <t>IT</t>
  </si>
  <si>
    <t>India</t>
  </si>
  <si>
    <t>Abigail Young</t>
  </si>
  <si>
    <t>Marketing</t>
  </si>
  <si>
    <t>USA</t>
  </si>
  <si>
    <t>Alexander Lewis</t>
  </si>
  <si>
    <t>Finance</t>
  </si>
  <si>
    <t>Canada</t>
  </si>
  <si>
    <t>Amelia Rodriguez</t>
  </si>
  <si>
    <t>HR</t>
  </si>
  <si>
    <t>UK</t>
  </si>
  <si>
    <t>Ava Thomas</t>
  </si>
  <si>
    <t>Australia</t>
  </si>
  <si>
    <t>Benjamin Martinez</t>
  </si>
  <si>
    <t>Charlotte Robinson</t>
  </si>
  <si>
    <t>Chloe Scott</t>
  </si>
  <si>
    <t>Daniel Walker</t>
  </si>
  <si>
    <t>David Hernandez</t>
  </si>
  <si>
    <t>Emily King</t>
  </si>
  <si>
    <t>Emma Davis</t>
  </si>
  <si>
    <t>Ethan Anderson</t>
  </si>
  <si>
    <t>Evelyn Hall</t>
  </si>
  <si>
    <t>Harper Lee</t>
  </si>
  <si>
    <t>Henry Clark</t>
  </si>
  <si>
    <t>Isabella Martin</t>
  </si>
  <si>
    <t>James Thompson</t>
  </si>
  <si>
    <t>Joseph Wright</t>
  </si>
  <si>
    <t>Liam Wilson</t>
  </si>
  <si>
    <t>Lucas Harris</t>
  </si>
  <si>
    <t>Mason Jackson</t>
  </si>
  <si>
    <t>Matthew Allen</t>
  </si>
  <si>
    <t>Mia Garcia</t>
  </si>
  <si>
    <t>Muskan Verma</t>
  </si>
  <si>
    <t>Noah Taylor</t>
  </si>
  <si>
    <t>Olivia Brown</t>
  </si>
  <si>
    <t>Samuel Hill</t>
  </si>
  <si>
    <t>Sofia Lopez</t>
  </si>
  <si>
    <t>Sophia White</t>
  </si>
  <si>
    <t>A</t>
  </si>
  <si>
    <t>B</t>
  </si>
  <si>
    <t>HIGHEST SALARY</t>
  </si>
  <si>
    <t>LOWERST SALARY</t>
  </si>
  <si>
    <t>AVERAGE SALARY</t>
  </si>
  <si>
    <t>TOTAL EMPLOYESS</t>
  </si>
  <si>
    <t>Total Salary</t>
  </si>
  <si>
    <t>Grand Total</t>
  </si>
  <si>
    <t>Count of Employee Name</t>
  </si>
  <si>
    <t>EMPLOYEE SALARY ANALYSIS DASHBOARD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</si>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</sst>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"/>
  </numFmts>
  <fonts count="5" x14ac:knownFonts="1">
    <font>
      <sz val="11"/>
      <color theme="1"/>
      <name val="Aptos Narrow"/>
      <charset val="134"/>
      <scheme val="minor"/>
    </font>
    <font>
      <b/>
      <sz val="18"/>
      <color rgb="FF000000"/>
      <name val="Aptos Narrow"/>
      <charset val="134"/>
    </font>
    <font>
      <b/>
      <sz val="11"/>
      <color theme="1"/>
      <name val="Aptos Narrow"/>
      <charset val="134"/>
      <scheme val="minor"/>
    </font>
    <font>
      <b/>
      <sz val="11"/>
      <color rgb="FF000000"/>
      <name val="Aptos Narrow"/>
      <charset val="134"/>
    </font>
    <font>
      <sz val="11"/>
      <color rgb="FF000000"/>
      <name val="Aptos Narrow"/>
      <charset val="134"/>
    </font>
  </fonts>
  <fills count="10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0E6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166" fontId="0" fillId="3" borderId="0" xfId="0" applyNumberFormat="1" applyFill="1"/>
    <xf numFmtId="0" fontId="0" fillId="2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 applyAlignment="1">
      <alignment horizontal="center"/>
    </xf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8">
    <dxf>
      <fill>
        <patternFill patternType="solid">
          <bgColor theme="6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6" tint="0.79995117038483843"/>
        </patternFill>
      </fill>
    </dxf>
    <dxf>
      <numFmt numFmtId="166" formatCode="&quot;₹&quot;\ #,##0"/>
    </dxf>
    <dxf>
      <numFmt numFmtId="166" formatCode="&quot;₹&quot;\ #,##0"/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[Employee_Salary_Analysis_Project.xlsx.xlsx]Pivot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DAE9F8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DAE9F8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Table'!$A$4:$A$8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'Pivot Table'!$B$4:$B$8</c:f>
              <c:numCache>
                <c:formatCode>"₹"\ #,##0</c:formatCode>
                <c:ptCount val="4"/>
                <c:pt idx="0">
                  <c:v>467000</c:v>
                </c:pt>
                <c:pt idx="1">
                  <c:v>456000</c:v>
                </c:pt>
                <c:pt idx="2">
                  <c:v>533000</c:v>
                </c:pt>
                <c:pt idx="3">
                  <c:v>523500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B-49F3-B24B-0C879AE9B5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8850567"/>
        <c:axId val="744709639"/>
      </c:barChart>
      <c:catAx>
        <c:axId val="718850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FBE2D5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709639"/>
        <c:crosses val="autoZero"/>
        <c:auto val="1"/>
        <c:lblAlgn val="ctr"/>
        <c:lblOffset val="100"/>
        <c:noMultiLvlLbl val="0"/>
      </c:catAx>
      <c:valAx>
        <c:axId val="7447096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solidFill>
            <a:srgbClr val="FBE2D5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50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ecf87b-2f47-4eba-bf37-4d77c51f41f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[Employee_Salary_Analysis_Project.xlsx.xlsx]Pivot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Distribution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DAE9F8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DAE9F8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Table'!$A$12:$A$17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'Pivot Table'!$B$12:$B$17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6-4811-8513-CD6EB928DC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0583687"/>
        <c:axId val="1460183047"/>
      </c:barChart>
      <c:catAx>
        <c:axId val="1080583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C0F1C8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83047"/>
        <c:crosses val="autoZero"/>
        <c:auto val="1"/>
        <c:lblAlgn val="ctr"/>
        <c:lblOffset val="100"/>
        <c:noMultiLvlLbl val="0"/>
      </c:catAx>
      <c:valAx>
        <c:axId val="14601830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C0F1C8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583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fd08b0-765c-4ecc-a9dd-64195ec22e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590550</xdr:colOff>
      <xdr:row>1</xdr:row>
      <xdr:rowOff>180975</xdr:rowOff>
    </xdr:from>
    <xdr:to>
      <xdr:col>6</xdr:col>
      <xdr:colOff>590550</xdr:colOff>
      <xdr:row>10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partment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2915" y="363855"/>
              <a:ext cx="1851660" cy="1483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571500</xdr:colOff>
      <xdr:row>11</xdr:row>
      <xdr:rowOff>133350</xdr:rowOff>
    </xdr:from>
    <xdr:to>
      <xdr:col>6</xdr:col>
      <xdr:colOff>571500</xdr:colOff>
      <xdr:row>20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ountry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3865" y="2145030"/>
              <a:ext cx="1851660" cy="1684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171450</xdr:rowOff>
    </xdr:from>
    <xdr:to>
      <xdr:col>8</xdr:col>
      <xdr:colOff>304800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180975</xdr:rowOff>
    </xdr:from>
    <xdr:to>
      <xdr:col>17</xdr:col>
      <xdr:colOff>304800</xdr:colOff>
      <xdr:row>19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0.9614373843" createdVersion="8" refreshedVersion="8" minRefreshableVersion="3" recordCount="30" xr:uid="{00000000-000A-0000-FFFF-FFFF00000000}">
  <cacheSource type="worksheet">
    <worksheetSource ref="A2:D32" sheet="Raw Data"/>
  </cacheSource>
  <cacheFields count="4">
    <cacheField name="Employee Name" numFmtId="0">
      <sharedItems count="30">
        <s v="Aarav Sharma"/>
        <s v="Abigail Young"/>
        <s v="Alexander Lewis"/>
        <s v="Amelia Rodriguez"/>
        <s v="Ava Thomas"/>
        <s v="Benjamin Martinez"/>
        <s v="Charlotte Robinson"/>
        <s v="Chloe Scott"/>
        <s v="Daniel Walker"/>
        <s v="David Hernandez"/>
        <s v="Emily King"/>
        <s v="Emma Davis"/>
        <s v="Ethan Anderson"/>
        <s v="Evelyn Hall"/>
        <s v="Harper Lee"/>
        <s v="Henry Clark"/>
        <s v="Isabella Martin"/>
        <s v="James Thompson"/>
        <s v="Joseph Wright"/>
        <s v="Liam Wilson"/>
        <s v="Lucas Harris"/>
        <s v="Mason Jackson"/>
        <s v="Matthew Allen"/>
        <s v="Mia Garcia"/>
        <s v="Muskan Verma"/>
        <s v="Noah Taylor"/>
        <s v="Olivia Brown"/>
        <s v="Samuel Hill"/>
        <s v="Sofia Lopez"/>
        <s v="Sophia White"/>
      </sharedItems>
    </cacheField>
    <cacheField name="Department" numFmtId="0">
      <sharedItems count="4">
        <s v="IT"/>
        <s v="Marketing"/>
        <s v="Finance"/>
        <s v="HR"/>
      </sharedItems>
    </cacheField>
    <cacheField name="Country" numFmtId="0">
      <sharedItems count="5">
        <s v="India"/>
        <s v="USA"/>
        <s v="Canada"/>
        <s v="UK"/>
        <s v="Australia"/>
      </sharedItems>
    </cacheField>
    <cacheField name="Salary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x v="0"/>
    <n v="82000"/>
  </r>
  <r>
    <x v="1"/>
    <x v="1"/>
    <x v="1"/>
    <n v="80000"/>
  </r>
  <r>
    <x v="2"/>
    <x v="2"/>
    <x v="2"/>
    <n v="77000"/>
  </r>
  <r>
    <x v="3"/>
    <x v="3"/>
    <x v="3"/>
    <n v="76000"/>
  </r>
  <r>
    <x v="4"/>
    <x v="0"/>
    <x v="4"/>
    <n v="75000"/>
  </r>
  <r>
    <x v="5"/>
    <x v="1"/>
    <x v="0"/>
    <n v="74000"/>
  </r>
  <r>
    <x v="6"/>
    <x v="2"/>
    <x v="1"/>
    <n v="73000"/>
  </r>
  <r>
    <x v="7"/>
    <x v="3"/>
    <x v="2"/>
    <n v="72000"/>
  </r>
  <r>
    <x v="8"/>
    <x v="0"/>
    <x v="0"/>
    <n v="71000"/>
  </r>
  <r>
    <x v="9"/>
    <x v="1"/>
    <x v="3"/>
    <n v="70500"/>
  </r>
  <r>
    <x v="10"/>
    <x v="2"/>
    <x v="4"/>
    <n v="70000"/>
  </r>
  <r>
    <x v="11"/>
    <x v="3"/>
    <x v="0"/>
    <n v="69000"/>
  </r>
  <r>
    <x v="12"/>
    <x v="0"/>
    <x v="1"/>
    <n v="69000"/>
  </r>
  <r>
    <x v="13"/>
    <x v="1"/>
    <x v="2"/>
    <n v="68000"/>
  </r>
  <r>
    <x v="14"/>
    <x v="2"/>
    <x v="3"/>
    <n v="67500"/>
  </r>
  <r>
    <x v="15"/>
    <x v="3"/>
    <x v="4"/>
    <n v="67000"/>
  </r>
  <r>
    <x v="16"/>
    <x v="0"/>
    <x v="0"/>
    <n v="67000"/>
  </r>
  <r>
    <x v="17"/>
    <x v="1"/>
    <x v="1"/>
    <n v="66000"/>
  </r>
  <r>
    <x v="18"/>
    <x v="2"/>
    <x v="2"/>
    <n v="66000"/>
  </r>
  <r>
    <x v="19"/>
    <x v="3"/>
    <x v="3"/>
    <n v="65000"/>
  </r>
  <r>
    <x v="20"/>
    <x v="0"/>
    <x v="4"/>
    <n v="64000"/>
  </r>
  <r>
    <x v="21"/>
    <x v="1"/>
    <x v="0"/>
    <n v="62000"/>
  </r>
  <r>
    <x v="22"/>
    <x v="2"/>
    <x v="1"/>
    <n v="61000"/>
  </r>
  <r>
    <x v="23"/>
    <x v="3"/>
    <x v="2"/>
    <n v="55000"/>
  </r>
  <r>
    <x v="24"/>
    <x v="0"/>
    <x v="3"/>
    <n v="54000"/>
  </r>
  <r>
    <x v="25"/>
    <x v="1"/>
    <x v="4"/>
    <n v="53000"/>
  </r>
  <r>
    <x v="26"/>
    <x v="2"/>
    <x v="0"/>
    <n v="52500"/>
  </r>
  <r>
    <x v="27"/>
    <x v="3"/>
    <x v="1"/>
    <n v="52000"/>
  </r>
  <r>
    <x v="28"/>
    <x v="0"/>
    <x v="2"/>
    <n v="51000"/>
  </r>
  <r>
    <x v="29"/>
    <x v="1"/>
    <x v="3"/>
    <n v="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3" cacheId="1" applyNumberFormats="0" applyBorderFormats="0" applyFontFormats="0" applyPatternFormats="0" applyAlignmentFormats="0" applyWidthHeightFormats="1" dataCaption="Values" updatedVersion="5" minRefreshableVersion="3" useAutoFormatting="1" createdVersion="8" indent="0" compact="0" compactData="0" multipleFieldFilters="0" chartFormat="1">
  <location ref="A11:B17" firstHeaderRow="1" firstDataRow="1" firstDataCol="1"/>
  <pivotFields count="4">
    <pivotField dataField="1" compact="0" outline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outline="0" showAll="0">
      <items count="5">
        <item x="2"/>
        <item x="3"/>
        <item x="0"/>
        <item x="1"/>
        <item t="default"/>
      </items>
    </pivotField>
    <pivotField axis="axisRow" compact="0" outline="0" showAll="0">
      <items count="6">
        <item sd="0" x="4"/>
        <item sd="0" x="2"/>
        <item sd="0" x="0"/>
        <item sd="0" x="3"/>
        <item sd="0" x="1"/>
        <item t="default"/>
      </items>
    </pivotField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Name" fld="0" subtotal="count" baseField="0" baseItem="0"/>
  </dataFields>
  <formats count="3">
    <format dxfId="2">
      <pivotArea outline="0" collapsedLevelsAreSubtotals="1" fieldPosition="0"/>
    </format>
    <format dxfId="1">
      <pivotArea dataOnly="0" labelOnly="1" outline="0" fieldPosition="0">
        <references count="1">
          <reference field="2" count="0"/>
        </references>
      </pivotArea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" applyNumberFormats="0" applyBorderFormats="0" applyFontFormats="0" applyPatternFormats="0" applyAlignmentFormats="0" applyWidthHeightFormats="1" dataCaption="Values" updatedVersion="5" minRefreshableVersion="3" useAutoFormatting="1" createdVersion="8" indent="0" compact="0" compactData="0" multipleFieldFilters="0" chartFormat="4">
  <location ref="A3:B8" firstHeaderRow="1" firstDataRow="1" firstDataCol="1"/>
  <pivotFields count="4">
    <pivotField compact="0" outline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compact="0" outline="0" showAll="0">
      <items count="5">
        <item sd="0" x="2"/>
        <item sd="0" x="3"/>
        <item sd="0" x="0"/>
        <item sd="0" x="1"/>
        <item t="default"/>
      </items>
    </pivotField>
    <pivotField compact="0" outline="0" showAll="0">
      <items count="6">
        <item x="4"/>
        <item x="2"/>
        <item x="0"/>
        <item x="3"/>
        <item x="1"/>
        <item t="default"/>
      </items>
    </pivotField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ary" fld="3" baseField="0" baseItem="0" numFmtId="166"/>
  </dataFields>
  <formats count="5">
    <format dxfId="7">
      <pivotArea dataOnly="0" labelOnly="1" outline="0" fieldPosition="0">
        <references count="1">
          <reference field="1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outline="0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00000000-0013-0000-FFFF-FFFF01000000}" sourceName="Country">
  <pivotTables>
    <pivotTable tabId="3" name="PivotTable1"/>
  </pivotTables>
  <data>
    <tabular pivotCacheId="1">
      <items count="5">
        <i x="4" s="1"/>
        <i x="2" s="1"/>
        <i x="0" s="1"/>
        <i x="3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00000000-0013-0000-FFFF-FFFF02000000}" sourceName="Department">
  <pivotTables>
    <pivotTable tabId="3" name="PivotTable1"/>
    <pivotTable tabId="3" name="PivotTable3"/>
  </pivotTables>
  <data>
    <tabular pivotCacheId="1">
      <items count="4">
        <i x="2" s="1"/>
        <i x="3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00000000-0014-0000-FFFF-FFFF02000000}" cache="Slicer_Country" caption="Country" style="SlicerStyleLight6" rowHeight="228600"/>
  <slicer name="Department" xr10:uid="{00000000-0014-0000-FFFF-FFFF01000000}" cache="Slicer_Department" caption="Department" style="SlicerStyleLight2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2"/>
  <sheetViews>
    <sheetView tabSelected="1" workbookViewId="0">
      <selection activeCell="H9" sqref="H9"/>
    </sheetView>
  </sheetViews>
  <sheetFormatPr defaultColWidth="9" defaultRowHeight="14.4" x14ac:dyDescent="0.25"/>
  <cols>
    <col min="1" max="1" width="16" customWidth="1"/>
    <col min="2" max="2" width="17.109375" customWidth="1"/>
    <col min="3" max="3" width="15.109375" customWidth="1"/>
    <col min="4" max="4" width="15.6640625" style="6" customWidth="1"/>
  </cols>
  <sheetData>
    <row r="2" spans="1:4" x14ac:dyDescent="0.25">
      <c r="A2" s="10" t="s">
        <v>0</v>
      </c>
      <c r="B2" s="11" t="s">
        <v>1</v>
      </c>
      <c r="C2" s="12" t="s">
        <v>2</v>
      </c>
      <c r="D2" s="13" t="s">
        <v>3</v>
      </c>
    </row>
    <row r="3" spans="1:4" x14ac:dyDescent="0.25">
      <c r="A3" s="14" t="s">
        <v>4</v>
      </c>
      <c r="B3" s="15" t="s">
        <v>5</v>
      </c>
      <c r="C3" s="16" t="s">
        <v>6</v>
      </c>
      <c r="D3" s="17">
        <v>82000</v>
      </c>
    </row>
    <row r="4" spans="1:4" x14ac:dyDescent="0.25">
      <c r="A4" s="14" t="s">
        <v>7</v>
      </c>
      <c r="B4" s="15" t="s">
        <v>8</v>
      </c>
      <c r="C4" s="16" t="s">
        <v>9</v>
      </c>
      <c r="D4" s="17">
        <v>80000</v>
      </c>
    </row>
    <row r="5" spans="1:4" x14ac:dyDescent="0.25">
      <c r="A5" s="14" t="s">
        <v>10</v>
      </c>
      <c r="B5" s="15" t="s">
        <v>11</v>
      </c>
      <c r="C5" s="16" t="s">
        <v>12</v>
      </c>
      <c r="D5" s="17">
        <v>77000</v>
      </c>
    </row>
    <row r="6" spans="1:4" x14ac:dyDescent="0.25">
      <c r="A6" s="14" t="s">
        <v>13</v>
      </c>
      <c r="B6" s="15" t="s">
        <v>14</v>
      </c>
      <c r="C6" s="16" t="s">
        <v>15</v>
      </c>
      <c r="D6" s="17">
        <v>76000</v>
      </c>
    </row>
    <row r="7" spans="1:4" x14ac:dyDescent="0.25">
      <c r="A7" s="14" t="s">
        <v>16</v>
      </c>
      <c r="B7" s="15" t="s">
        <v>5</v>
      </c>
      <c r="C7" s="16" t="s">
        <v>17</v>
      </c>
      <c r="D7" s="17">
        <v>75000</v>
      </c>
    </row>
    <row r="8" spans="1:4" x14ac:dyDescent="0.25">
      <c r="A8" s="14" t="s">
        <v>18</v>
      </c>
      <c r="B8" s="15" t="s">
        <v>8</v>
      </c>
      <c r="C8" s="16" t="s">
        <v>6</v>
      </c>
      <c r="D8" s="17">
        <v>74000</v>
      </c>
    </row>
    <row r="9" spans="1:4" x14ac:dyDescent="0.25">
      <c r="A9" s="14" t="s">
        <v>19</v>
      </c>
      <c r="B9" s="15" t="s">
        <v>11</v>
      </c>
      <c r="C9" s="16" t="s">
        <v>9</v>
      </c>
      <c r="D9" s="17">
        <v>73000</v>
      </c>
    </row>
    <row r="10" spans="1:4" x14ac:dyDescent="0.25">
      <c r="A10" s="14" t="s">
        <v>20</v>
      </c>
      <c r="B10" s="15" t="s">
        <v>14</v>
      </c>
      <c r="C10" s="16" t="s">
        <v>12</v>
      </c>
      <c r="D10" s="17">
        <v>72000</v>
      </c>
    </row>
    <row r="11" spans="1:4" x14ac:dyDescent="0.25">
      <c r="A11" s="14" t="s">
        <v>21</v>
      </c>
      <c r="B11" s="15" t="s">
        <v>5</v>
      </c>
      <c r="C11" s="16" t="s">
        <v>6</v>
      </c>
      <c r="D11" s="17">
        <v>71000</v>
      </c>
    </row>
    <row r="12" spans="1:4" x14ac:dyDescent="0.25">
      <c r="A12" s="14" t="s">
        <v>22</v>
      </c>
      <c r="B12" s="15" t="s">
        <v>8</v>
      </c>
      <c r="C12" s="16" t="s">
        <v>15</v>
      </c>
      <c r="D12" s="17">
        <v>70500</v>
      </c>
    </row>
    <row r="13" spans="1:4" x14ac:dyDescent="0.25">
      <c r="A13" s="14" t="s">
        <v>23</v>
      </c>
      <c r="B13" s="15" t="s">
        <v>11</v>
      </c>
      <c r="C13" s="16" t="s">
        <v>17</v>
      </c>
      <c r="D13" s="17">
        <v>70000</v>
      </c>
    </row>
    <row r="14" spans="1:4" x14ac:dyDescent="0.25">
      <c r="A14" s="14" t="s">
        <v>24</v>
      </c>
      <c r="B14" s="15" t="s">
        <v>14</v>
      </c>
      <c r="C14" s="16" t="s">
        <v>6</v>
      </c>
      <c r="D14" s="17">
        <v>69000</v>
      </c>
    </row>
    <row r="15" spans="1:4" x14ac:dyDescent="0.25">
      <c r="A15" s="14" t="s">
        <v>25</v>
      </c>
      <c r="B15" s="15" t="s">
        <v>5</v>
      </c>
      <c r="C15" s="16" t="s">
        <v>9</v>
      </c>
      <c r="D15" s="17">
        <v>69000</v>
      </c>
    </row>
    <row r="16" spans="1:4" x14ac:dyDescent="0.25">
      <c r="A16" s="14" t="s">
        <v>26</v>
      </c>
      <c r="B16" s="15" t="s">
        <v>8</v>
      </c>
      <c r="C16" s="16" t="s">
        <v>12</v>
      </c>
      <c r="D16" s="17">
        <v>68000</v>
      </c>
    </row>
    <row r="17" spans="1:4" x14ac:dyDescent="0.25">
      <c r="A17" s="14" t="s">
        <v>27</v>
      </c>
      <c r="B17" s="15" t="s">
        <v>11</v>
      </c>
      <c r="C17" s="16" t="s">
        <v>15</v>
      </c>
      <c r="D17" s="17">
        <v>67500</v>
      </c>
    </row>
    <row r="18" spans="1:4" x14ac:dyDescent="0.25">
      <c r="A18" s="14" t="s">
        <v>28</v>
      </c>
      <c r="B18" s="15" t="s">
        <v>14</v>
      </c>
      <c r="C18" s="16" t="s">
        <v>17</v>
      </c>
      <c r="D18" s="17">
        <v>67000</v>
      </c>
    </row>
    <row r="19" spans="1:4" x14ac:dyDescent="0.25">
      <c r="A19" s="14" t="s">
        <v>29</v>
      </c>
      <c r="B19" s="15" t="s">
        <v>5</v>
      </c>
      <c r="C19" s="16" t="s">
        <v>6</v>
      </c>
      <c r="D19" s="17">
        <v>67000</v>
      </c>
    </row>
    <row r="20" spans="1:4" x14ac:dyDescent="0.25">
      <c r="A20" s="14" t="s">
        <v>30</v>
      </c>
      <c r="B20" s="15" t="s">
        <v>8</v>
      </c>
      <c r="C20" s="16" t="s">
        <v>9</v>
      </c>
      <c r="D20" s="17">
        <v>66000</v>
      </c>
    </row>
    <row r="21" spans="1:4" x14ac:dyDescent="0.25">
      <c r="A21" s="14" t="s">
        <v>31</v>
      </c>
      <c r="B21" s="15" t="s">
        <v>11</v>
      </c>
      <c r="C21" s="16" t="s">
        <v>12</v>
      </c>
      <c r="D21" s="17">
        <v>66000</v>
      </c>
    </row>
    <row r="22" spans="1:4" x14ac:dyDescent="0.25">
      <c r="A22" s="14" t="s">
        <v>32</v>
      </c>
      <c r="B22" s="15" t="s">
        <v>14</v>
      </c>
      <c r="C22" s="16" t="s">
        <v>15</v>
      </c>
      <c r="D22" s="17">
        <v>65000</v>
      </c>
    </row>
    <row r="23" spans="1:4" x14ac:dyDescent="0.25">
      <c r="A23" s="14" t="s">
        <v>33</v>
      </c>
      <c r="B23" s="15" t="s">
        <v>5</v>
      </c>
      <c r="C23" s="16" t="s">
        <v>17</v>
      </c>
      <c r="D23" s="17">
        <v>64000</v>
      </c>
    </row>
    <row r="24" spans="1:4" x14ac:dyDescent="0.25">
      <c r="A24" s="14" t="s">
        <v>34</v>
      </c>
      <c r="B24" s="15" t="s">
        <v>8</v>
      </c>
      <c r="C24" s="16" t="s">
        <v>6</v>
      </c>
      <c r="D24" s="17">
        <v>62000</v>
      </c>
    </row>
    <row r="25" spans="1:4" x14ac:dyDescent="0.25">
      <c r="A25" s="14" t="s">
        <v>35</v>
      </c>
      <c r="B25" s="15" t="s">
        <v>11</v>
      </c>
      <c r="C25" s="16" t="s">
        <v>9</v>
      </c>
      <c r="D25" s="17">
        <v>61000</v>
      </c>
    </row>
    <row r="26" spans="1:4" x14ac:dyDescent="0.25">
      <c r="A26" s="14" t="s">
        <v>36</v>
      </c>
      <c r="B26" s="15" t="s">
        <v>14</v>
      </c>
      <c r="C26" s="16" t="s">
        <v>12</v>
      </c>
      <c r="D26" s="17">
        <v>55000</v>
      </c>
    </row>
    <row r="27" spans="1:4" x14ac:dyDescent="0.25">
      <c r="A27" s="14" t="s">
        <v>37</v>
      </c>
      <c r="B27" s="15" t="s">
        <v>5</v>
      </c>
      <c r="C27" s="16" t="s">
        <v>15</v>
      </c>
      <c r="D27" s="17">
        <v>54000</v>
      </c>
    </row>
    <row r="28" spans="1:4" x14ac:dyDescent="0.25">
      <c r="A28" s="14" t="s">
        <v>38</v>
      </c>
      <c r="B28" s="15" t="s">
        <v>8</v>
      </c>
      <c r="C28" s="16" t="s">
        <v>17</v>
      </c>
      <c r="D28" s="17">
        <v>53000</v>
      </c>
    </row>
    <row r="29" spans="1:4" x14ac:dyDescent="0.25">
      <c r="A29" s="14" t="s">
        <v>39</v>
      </c>
      <c r="B29" s="15" t="s">
        <v>11</v>
      </c>
      <c r="C29" s="16" t="s">
        <v>6</v>
      </c>
      <c r="D29" s="17">
        <v>52500</v>
      </c>
    </row>
    <row r="30" spans="1:4" x14ac:dyDescent="0.25">
      <c r="A30" s="14" t="s">
        <v>40</v>
      </c>
      <c r="B30" s="15" t="s">
        <v>14</v>
      </c>
      <c r="C30" s="16" t="s">
        <v>9</v>
      </c>
      <c r="D30" s="17">
        <v>52000</v>
      </c>
    </row>
    <row r="31" spans="1:4" x14ac:dyDescent="0.25">
      <c r="A31" s="14" t="s">
        <v>41</v>
      </c>
      <c r="B31" s="15" t="s">
        <v>5</v>
      </c>
      <c r="C31" s="16" t="s">
        <v>12</v>
      </c>
      <c r="D31" s="17">
        <v>51000</v>
      </c>
    </row>
    <row r="32" spans="1:4" x14ac:dyDescent="0.25">
      <c r="A32" s="14" t="s">
        <v>42</v>
      </c>
      <c r="B32" s="15" t="s">
        <v>8</v>
      </c>
      <c r="C32" s="16" t="s">
        <v>15</v>
      </c>
      <c r="D32" s="17">
        <v>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D19" sqref="D19"/>
    </sheetView>
  </sheetViews>
  <sheetFormatPr defaultColWidth="9" defaultRowHeight="14.4" x14ac:dyDescent="0.25"/>
  <cols>
    <col min="1" max="1" width="17.33203125" customWidth="1"/>
    <col min="3" max="3" width="9.109375" style="6"/>
  </cols>
  <sheetData>
    <row r="1" spans="1:3" x14ac:dyDescent="0.25">
      <c r="A1" s="7" t="s">
        <v>43</v>
      </c>
      <c r="C1" s="8" t="s">
        <v>44</v>
      </c>
    </row>
    <row r="2" spans="1:3" x14ac:dyDescent="0.25">
      <c r="A2" s="1" t="s">
        <v>45</v>
      </c>
      <c r="C2" s="9">
        <v>82000</v>
      </c>
    </row>
    <row r="3" spans="1:3" x14ac:dyDescent="0.25">
      <c r="A3" s="1" t="s">
        <v>46</v>
      </c>
      <c r="C3" s="9">
        <v>50000</v>
      </c>
    </row>
    <row r="4" spans="1:3" x14ac:dyDescent="0.25">
      <c r="A4" s="1" t="s">
        <v>47</v>
      </c>
      <c r="C4" s="9">
        <v>65983</v>
      </c>
    </row>
    <row r="5" spans="1:3" x14ac:dyDescent="0.25">
      <c r="A5" s="1" t="s">
        <v>48</v>
      </c>
      <c r="C5" s="9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17"/>
  <sheetViews>
    <sheetView workbookViewId="0">
      <selection activeCell="C25" sqref="C25"/>
    </sheetView>
  </sheetViews>
  <sheetFormatPr defaultColWidth="9" defaultRowHeight="14.4" x14ac:dyDescent="0.25"/>
  <cols>
    <col min="1" max="1" width="14.44140625"/>
    <col min="2" max="2" width="28.109375"/>
    <col min="3" max="3" width="11.109375" customWidth="1"/>
  </cols>
  <sheetData>
    <row r="3" spans="1:7" x14ac:dyDescent="0.25">
      <c r="A3" t="s">
        <v>1</v>
      </c>
      <c r="B3" t="s">
        <v>49</v>
      </c>
    </row>
    <row r="4" spans="1:7" x14ac:dyDescent="0.25">
      <c r="A4" s="2" t="s">
        <v>11</v>
      </c>
      <c r="B4" s="3">
        <v>467000</v>
      </c>
    </row>
    <row r="5" spans="1:7" x14ac:dyDescent="0.25">
      <c r="A5" s="2" t="s">
        <v>14</v>
      </c>
      <c r="B5" s="3">
        <v>456000</v>
      </c>
    </row>
    <row r="6" spans="1:7" x14ac:dyDescent="0.25">
      <c r="A6" s="2" t="s">
        <v>5</v>
      </c>
      <c r="B6" s="3">
        <v>533000</v>
      </c>
    </row>
    <row r="7" spans="1:7" x14ac:dyDescent="0.25">
      <c r="A7" s="2" t="s">
        <v>8</v>
      </c>
      <c r="B7" s="3">
        <v>523500</v>
      </c>
    </row>
    <row r="8" spans="1:7" x14ac:dyDescent="0.25">
      <c r="A8" s="2" t="s">
        <v>50</v>
      </c>
      <c r="B8" s="3">
        <v>1979500</v>
      </c>
    </row>
    <row r="11" spans="1:7" x14ac:dyDescent="0.25">
      <c r="A11" t="s">
        <v>2</v>
      </c>
      <c r="B11" t="s">
        <v>51</v>
      </c>
    </row>
    <row r="12" spans="1:7" x14ac:dyDescent="0.25">
      <c r="A12" s="4" t="s">
        <v>17</v>
      </c>
      <c r="B12" s="4">
        <v>5</v>
      </c>
    </row>
    <row r="13" spans="1:7" x14ac:dyDescent="0.25">
      <c r="A13" s="4" t="s">
        <v>12</v>
      </c>
      <c r="B13" s="4">
        <v>6</v>
      </c>
    </row>
    <row r="14" spans="1:7" x14ac:dyDescent="0.25">
      <c r="A14" s="4" t="s">
        <v>6</v>
      </c>
      <c r="B14" s="4">
        <v>7</v>
      </c>
    </row>
    <row r="15" spans="1:7" x14ac:dyDescent="0.25">
      <c r="A15" s="4" t="s">
        <v>15</v>
      </c>
      <c r="B15" s="4">
        <v>6</v>
      </c>
      <c r="G15" s="5"/>
    </row>
    <row r="16" spans="1:7" x14ac:dyDescent="0.25">
      <c r="A16" s="4" t="s">
        <v>9</v>
      </c>
      <c r="B16" s="4">
        <v>6</v>
      </c>
    </row>
    <row r="17" spans="1:2" x14ac:dyDescent="0.25">
      <c r="A17" s="4" t="s">
        <v>50</v>
      </c>
      <c r="B17" s="4">
        <v>30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4"/>
  <sheetViews>
    <sheetView showGridLines="0" workbookViewId="0">
      <selection activeCell="A4" sqref="A4"/>
    </sheetView>
  </sheetViews>
  <sheetFormatPr defaultColWidth="9" defaultRowHeight="14.4" x14ac:dyDescent="0.25"/>
  <sheetData>
    <row r="2" spans="1:17" x14ac:dyDescent="0.25">
      <c r="A2" s="18" t="s">
        <v>52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t="s">
        <v>53</v>
      </c>
    </row>
  </sheetData>
  <mergeCells count="1">
    <mergeCell ref="A2:Q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Analysis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MUSKAN VERMA</cp:lastModifiedBy>
  <dcterms:created xsi:type="dcterms:W3CDTF">2026-03-19T17:25:00Z</dcterms:created>
  <dcterms:modified xsi:type="dcterms:W3CDTF">2026-04-28T13:40:36Z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1F53C5AA72E84E1186F0647651A084A7_12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